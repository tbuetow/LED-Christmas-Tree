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homas Buetow\Projects\RGB LED Christmas Tree\hw\"/>
    </mc:Choice>
  </mc:AlternateContent>
  <xr:revisionPtr revIDLastSave="0" documentId="13_ncr:1_{A149835A-0609-4BB8-ADE9-955A3BF50B76}" xr6:coauthVersionLast="47" xr6:coauthVersionMax="47" xr10:uidLastSave="{00000000-0000-0000-0000-000000000000}"/>
  <bookViews>
    <workbookView xWindow="9576" yWindow="5652" windowWidth="29220" windowHeight="18552" xr2:uid="{00000000-000D-0000-FFFF-FFFF00000000}"/>
  </bookViews>
  <sheets>
    <sheet name="Sheet1" sheetId="1" r:id="rId1"/>
  </sheets>
  <definedNames>
    <definedName name="total_units">Sheet1!$C$1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" i="1" l="1"/>
  <c r="G21" i="1"/>
  <c r="L21" i="1"/>
  <c r="M21" i="1" s="1"/>
  <c r="H19" i="1"/>
  <c r="H18" i="1"/>
  <c r="M5" i="1"/>
  <c r="H17" i="1"/>
  <c r="G10" i="1"/>
  <c r="L15" i="1"/>
  <c r="M15" i="1" s="1"/>
  <c r="I4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H5" i="1"/>
  <c r="I5" i="1" s="1"/>
  <c r="L4" i="1"/>
  <c r="M4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6" i="1"/>
  <c r="M16" i="1" s="1"/>
  <c r="L17" i="1"/>
  <c r="M17" i="1" s="1"/>
  <c r="M18" i="1"/>
  <c r="M19" i="1"/>
  <c r="L20" i="1"/>
  <c r="M20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I31" i="1" l="1"/>
  <c r="M31" i="1"/>
</calcChain>
</file>

<file path=xl/sharedStrings.xml><?xml version="1.0" encoding="utf-8"?>
<sst xmlns="http://schemas.openxmlformats.org/spreadsheetml/2006/main" count="113" uniqueCount="94">
  <si>
    <t>Description</t>
  </si>
  <si>
    <t>Part</t>
  </si>
  <si>
    <t>Ref Des</t>
  </si>
  <si>
    <t>Total units:</t>
  </si>
  <si>
    <t>Unit QTY</t>
  </si>
  <si>
    <t>Unit Cost</t>
  </si>
  <si>
    <t>LED PCB</t>
  </si>
  <si>
    <t>Vendor</t>
  </si>
  <si>
    <t>KEMET</t>
  </si>
  <si>
    <t>Ext Cost</t>
  </si>
  <si>
    <t># on hand</t>
  </si>
  <si>
    <t>Purchase QTY</t>
  </si>
  <si>
    <t>unit package qty</t>
  </si>
  <si>
    <t>RGB LED</t>
  </si>
  <si>
    <t>SK9822 or APA102C 5050 LED</t>
  </si>
  <si>
    <t>Aliexpress</t>
  </si>
  <si>
    <t>2251832309970313</t>
  </si>
  <si>
    <t>LED: J1</t>
  </si>
  <si>
    <t>LED: D1,D2,D3,D4,D5,D6,D7,D8,D9,D10</t>
  </si>
  <si>
    <t>CONN HDR 4POS 2X2 0.1 GOLD PCB</t>
  </si>
  <si>
    <t>Manufacturer</t>
  </si>
  <si>
    <t>Man PN</t>
  </si>
  <si>
    <t>PPPC022LFBN-RC</t>
  </si>
  <si>
    <t>Sullins Connector Solutions</t>
  </si>
  <si>
    <t>Column1</t>
  </si>
  <si>
    <t>LED: C1,C2,C3,C4
Control: C2</t>
  </si>
  <si>
    <t>Capacitor, 0.1u</t>
  </si>
  <si>
    <t>Capacitor, 1u</t>
  </si>
  <si>
    <t>CAP CER 1UF 16V X7R 0603</t>
  </si>
  <si>
    <t>C0603C105K4RACTU</t>
  </si>
  <si>
    <t>Control: C1</t>
  </si>
  <si>
    <t>CAP CER 0.1UF 16V X7R 0603</t>
  </si>
  <si>
    <t>C0603C104K4RACTU</t>
  </si>
  <si>
    <t>B5819WS-TP</t>
  </si>
  <si>
    <t>DIODE SCHOTTKY 40V 1A SOD323</t>
  </si>
  <si>
    <t>Programmer protection diode</t>
  </si>
  <si>
    <t>MCC (Micro Commercial Components)</t>
  </si>
  <si>
    <t>Control: D1</t>
  </si>
  <si>
    <t>USB4125-GF-A</t>
  </si>
  <si>
    <t>GCT</t>
  </si>
  <si>
    <t>CONN RCPT TYPE C 6P SMD RA</t>
  </si>
  <si>
    <t>USB C Connector</t>
  </si>
  <si>
    <t>Control: J1</t>
  </si>
  <si>
    <t>Board connector</t>
  </si>
  <si>
    <t>PRPC040DAAN-RC</t>
  </si>
  <si>
    <t>Control: J2</t>
  </si>
  <si>
    <t>Assy Cost</t>
  </si>
  <si>
    <t>Total</t>
  </si>
  <si>
    <t>UPDI connector</t>
  </si>
  <si>
    <t>CONN HEADER VERT 80POS 2ROW 2.54MM</t>
  </si>
  <si>
    <t>CONN HEADER VERT 3POS 2.54MM</t>
  </si>
  <si>
    <t>5.1k Resistor</t>
  </si>
  <si>
    <t>RES 1K OHM 1% 1/10W 0603</t>
  </si>
  <si>
    <t>Stackpole Electronics Inc</t>
  </si>
  <si>
    <t>RMCF0603FT1K00</t>
  </si>
  <si>
    <t>Control: R1,R2</t>
  </si>
  <si>
    <t>Control: J3</t>
  </si>
  <si>
    <t>1k Resistor</t>
  </si>
  <si>
    <t>10k Resistor</t>
  </si>
  <si>
    <t>RMCF0603FT10K0</t>
  </si>
  <si>
    <t>RES 10K OHM 1% 1/10W 0603</t>
  </si>
  <si>
    <t>Contro: R3,R4</t>
  </si>
  <si>
    <t>Control: R5</t>
  </si>
  <si>
    <t>RMCF0603FT5K10</t>
  </si>
  <si>
    <t>RES 5.1K OHM 1% 1/10W 0603</t>
  </si>
  <si>
    <t>SWITCH TACTILE SPST-NO 0.05A 12V</t>
  </si>
  <si>
    <t>Panasonic Electronic Components</t>
  </si>
  <si>
    <t>EVQ-P7L01P</t>
  </si>
  <si>
    <t>Control: SW1,SW2</t>
  </si>
  <si>
    <t>Pushbutton Switches</t>
  </si>
  <si>
    <t>microcontroller</t>
  </si>
  <si>
    <t>IC MCU 8BIT 16KB FLASH 20VQFN</t>
  </si>
  <si>
    <t>ATTINY1616-MNR</t>
  </si>
  <si>
    <t>Microchip Technology</t>
  </si>
  <si>
    <t>Control: U1</t>
  </si>
  <si>
    <t>Cocurve Official Store</t>
  </si>
  <si>
    <t>Digikey</t>
  </si>
  <si>
    <t>PCB Screws</t>
  </si>
  <si>
    <t>M2.5x0.45 4MM PAN HEAD PHILLIPS 18-8 STAINLESS</t>
  </si>
  <si>
    <t>McMaster Carr</t>
  </si>
  <si>
    <t>92000A102</t>
  </si>
  <si>
    <t>mcmaster</t>
  </si>
  <si>
    <t>64MM LED Ring with 10 addressable RGB LEDs</t>
  </si>
  <si>
    <t xml:space="preserve">W949867ASM10 </t>
  </si>
  <si>
    <t>PCBWay</t>
  </si>
  <si>
    <t>Control PCB</t>
  </si>
  <si>
    <t>LED control PCB</t>
  </si>
  <si>
    <t xml:space="preserve">W949867ASM8 </t>
  </si>
  <si>
    <t>Printed Solid</t>
  </si>
  <si>
    <t>Prusa Research</t>
  </si>
  <si>
    <t>PLA filament</t>
  </si>
  <si>
    <t>PETG filament</t>
  </si>
  <si>
    <t>Estimated filament for tree in kilograms</t>
  </si>
  <si>
    <t>Estimated filament for all base parts in kilograms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</si>
</sst>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44" fontId="0" fillId="0" borderId="0" xfId="1" applyFont="1"/>
    <xf numFmtId="0" fontId="0" fillId="0" borderId="0" xfId="0" quotePrefix="1"/>
    <xf numFmtId="164" fontId="0" fillId="0" borderId="0" xfId="1" applyNumberFormat="1" applyFont="1"/>
    <xf numFmtId="0" fontId="0" fillId="0" borderId="0" xfId="0" applyAlignment="1">
      <alignment wrapText="1"/>
    </xf>
    <xf numFmtId="164" fontId="0" fillId="0" borderId="0" xfId="0" applyNumberFormat="1"/>
    <xf numFmtId="44" fontId="0" fillId="0" borderId="0" xfId="0" applyNumberFormat="1"/>
  </cellXfs>
  <cellStyles count="2">
    <cellStyle name="Currency" xfId="1" builtinId="4"/>
    <cellStyle name="Normal" xfId="0" builtinId="0"/>
  </cellStyles>
  <dxfs count="5">
    <dxf>
      <numFmt numFmtId="164" formatCode="_(&quot;$&quot;* #,##0.000_);_(&quot;$&quot;* \(#,##0.0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_);_(&quot;$&quot;* \(#,##0.000\);_(&quot;$&quot;* &quot;-&quot;??_);_(@_)"/>
    </dxf>
    <dxf>
      <numFmt numFmtId="0" formatCode="General"/>
    </dxf>
    <dxf>
      <numFmt numFmtId="164" formatCode="_(&quot;$&quot;* #,##0.000_);_(&quot;$&quot;* \(#,##0.0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D49EE3-E2C6-4C02-88FD-D9B31B953AA8}" name="Table1" displayName="Table1" ref="A3:N31" totalsRowCount="1">
  <autoFilter ref="A3:N30" xr:uid="{46D49EE3-E2C6-4C02-88FD-D9B31B953AA8}"/>
  <tableColumns count="14">
    <tableColumn id="2" xr3:uid="{3D106FED-EDEB-41C7-A034-8FF61EB1ED80}" name="Part" totalsRowLabel="Total"/>
    <tableColumn id="3" xr3:uid="{A35E6062-5C69-4462-8B83-DE62587558AD}" name="Description"/>
    <tableColumn id="4" xr3:uid="{6F917BB3-63DE-4FC8-9748-76F9BC44D0C1}" name="Manufacturer"/>
    <tableColumn id="5" xr3:uid="{5DF55988-5CB8-4CA7-8324-3B91D8A1D00C}" name="Man PN"/>
    <tableColumn id="6" xr3:uid="{19BDB935-AF9B-47CB-8386-B3C4CDDF4248}" name="Ref Des"/>
    <tableColumn id="15" xr3:uid="{6E4BAC25-D9ED-4297-9842-BC9F5FD870BC}" name="Vendor"/>
    <tableColumn id="7" xr3:uid="{E1AE6AD1-AC76-42A6-965D-C3BE7D5D7247}" name="Unit QTY"/>
    <tableColumn id="8" xr3:uid="{5CBD6724-C7D0-4DFF-9B93-39A2D71F016D}" name="Unit Cost" dataDxfId="4" dataCellStyle="Currency"/>
    <tableColumn id="9" xr3:uid="{9E66CF03-B7E0-43E5-8B04-6DC915F7D481}" name="Assy Cost" totalsRowFunction="sum" totalsRowDxfId="1" dataCellStyle="Currency">
      <calculatedColumnFormula>Table1[[#This Row],[Unit Cost]]*Table1[[#This Row],[Unit QTY]]</calculatedColumnFormula>
    </tableColumn>
    <tableColumn id="10" xr3:uid="{854C9983-C04F-4240-925B-EB7FBABC364B}" name="# on hand"/>
    <tableColumn id="11" xr3:uid="{4CFE6D0C-ABB9-46E5-B749-CA512F3412F4}" name="unit package qty"/>
    <tableColumn id="12" xr3:uid="{909994E7-BA1A-4799-8339-A95B90AE358F}" name="Purchase QTY" dataDxfId="3">
      <calculatedColumnFormula>ROUNDUP(MAX(Table1[[#This Row],[Unit QTY]]*total_units-Table1[[#This Row],['# on hand]],0)/MAX(Table1[[#This Row],[unit package qty]],1),0)</calculatedColumnFormula>
    </tableColumn>
    <tableColumn id="14" xr3:uid="{241D9008-FBE8-4BFF-A7A8-FD8AA1C3B662}" name="Ext Cost" totalsRowFunction="sum" dataDxfId="2" totalsRowDxfId="0">
      <calculatedColumnFormula>Table1[[#This Row],[Unit Cost]]*Table1[[#This Row],[Purchase QTY]]</calculatedColumnFormula>
    </tableColumn>
    <tableColumn id="16" xr3:uid="{75935123-787E-4C94-8AAF-930259CED757}" name="Column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J22" sqref="J22"/>
    </sheetView>
  </sheetViews>
  <sheetFormatPr defaultRowHeight="14.4" x14ac:dyDescent="0.3"/>
  <cols>
    <col min="1" max="1" width="28.33203125" bestFit="1" customWidth="1"/>
    <col min="2" max="2" width="44.77734375" bestFit="1" customWidth="1"/>
    <col min="3" max="3" width="23.21875" bestFit="1" customWidth="1"/>
    <col min="4" max="4" width="18.109375" bestFit="1" customWidth="1"/>
    <col min="5" max="5" width="32.88671875" bestFit="1" customWidth="1"/>
    <col min="6" max="6" width="14.77734375" customWidth="1"/>
    <col min="7" max="7" width="10.5546875" bestFit="1" customWidth="1"/>
    <col min="8" max="8" width="10.88671875" style="3" bestFit="1" customWidth="1"/>
    <col min="9" max="9" width="9.88671875" style="1" bestFit="1" customWidth="1"/>
    <col min="10" max="10" width="11.6640625" bestFit="1" customWidth="1"/>
    <col min="11" max="11" width="21.33203125" bestFit="1" customWidth="1"/>
    <col min="12" max="12" width="14.6640625" bestFit="1" customWidth="1"/>
    <col min="13" max="13" width="9.88671875" bestFit="1" customWidth="1"/>
  </cols>
  <sheetData>
    <row r="1" spans="1:14" x14ac:dyDescent="0.3">
      <c r="B1" t="s">
        <v>3</v>
      </c>
      <c r="C1">
        <v>30</v>
      </c>
    </row>
    <row r="3" spans="1:14" x14ac:dyDescent="0.3">
      <c r="A3" t="s">
        <v>1</v>
      </c>
      <c r="B3" t="s">
        <v>0</v>
      </c>
      <c r="C3" t="s">
        <v>20</v>
      </c>
      <c r="D3" t="s">
        <v>21</v>
      </c>
      <c r="E3" t="s">
        <v>2</v>
      </c>
      <c r="F3" t="s">
        <v>7</v>
      </c>
      <c r="G3" t="s">
        <v>4</v>
      </c>
      <c r="H3" s="3" t="s">
        <v>5</v>
      </c>
      <c r="I3" s="1" t="s">
        <v>46</v>
      </c>
      <c r="J3" t="s">
        <v>10</v>
      </c>
      <c r="K3" t="s">
        <v>12</v>
      </c>
      <c r="L3" t="s">
        <v>11</v>
      </c>
      <c r="M3" t="s">
        <v>9</v>
      </c>
      <c r="N3" t="s">
        <v>24</v>
      </c>
    </row>
    <row r="4" spans="1:14" ht="28.8" x14ac:dyDescent="0.3">
      <c r="A4" t="s">
        <v>26</v>
      </c>
      <c r="B4" t="s">
        <v>31</v>
      </c>
      <c r="C4" t="s">
        <v>8</v>
      </c>
      <c r="D4" t="s">
        <v>32</v>
      </c>
      <c r="E4" s="4" t="s">
        <v>25</v>
      </c>
      <c r="F4" s="4" t="s">
        <v>76</v>
      </c>
      <c r="G4">
        <v>5</v>
      </c>
      <c r="H4" s="3">
        <v>0.01</v>
      </c>
      <c r="I4" s="1">
        <f>Table1[[#This Row],[Unit Cost]]*Table1[[#This Row],[Unit QTY]]</f>
        <v>0.05</v>
      </c>
      <c r="J4">
        <v>500</v>
      </c>
      <c r="K4">
        <v>1</v>
      </c>
      <c r="L4">
        <f>ROUNDUP(MAX(Table1[[#This Row],[Unit QTY]]*total_units-Table1[[#This Row],['# on hand]],0)/MAX(Table1[[#This Row],[unit package qty]],1),0)</f>
        <v>0</v>
      </c>
      <c r="M4" s="5">
        <f>Table1[[#This Row],[Unit Cost]]*Table1[[#This Row],[Purchase QTY]]</f>
        <v>0</v>
      </c>
    </row>
    <row r="5" spans="1:14" x14ac:dyDescent="0.3">
      <c r="A5" t="s">
        <v>13</v>
      </c>
      <c r="B5" t="s">
        <v>14</v>
      </c>
      <c r="C5" t="s">
        <v>75</v>
      </c>
      <c r="D5" s="2" t="s">
        <v>16</v>
      </c>
      <c r="E5" t="s">
        <v>18</v>
      </c>
      <c r="F5" t="s">
        <v>15</v>
      </c>
      <c r="G5">
        <v>10</v>
      </c>
      <c r="H5" s="3">
        <f>56.15/500</f>
        <v>0.1123</v>
      </c>
      <c r="I5" s="1">
        <f>Table1[[#This Row],[Unit Cost]]*Table1[[#This Row],[Unit QTY]]</f>
        <v>1.123</v>
      </c>
      <c r="J5">
        <v>120</v>
      </c>
      <c r="K5">
        <v>1</v>
      </c>
      <c r="L5">
        <v>500</v>
      </c>
      <c r="M5" s="5">
        <f>Table1[[#This Row],[Unit Cost]]*Table1[[#This Row],[Purchase QTY]]</f>
        <v>56.15</v>
      </c>
    </row>
    <row r="6" spans="1:14" x14ac:dyDescent="0.3">
      <c r="A6" t="s">
        <v>43</v>
      </c>
      <c r="B6" t="s">
        <v>19</v>
      </c>
      <c r="C6" t="s">
        <v>23</v>
      </c>
      <c r="D6" t="s">
        <v>22</v>
      </c>
      <c r="E6" t="s">
        <v>17</v>
      </c>
      <c r="F6" t="s">
        <v>76</v>
      </c>
      <c r="G6">
        <v>1</v>
      </c>
      <c r="H6" s="3">
        <v>0.39400000000000002</v>
      </c>
      <c r="I6" s="1">
        <f>Table1[[#This Row],[Unit Cost]]*Table1[[#This Row],[Unit QTY]]</f>
        <v>0.39400000000000002</v>
      </c>
      <c r="J6">
        <v>0</v>
      </c>
      <c r="K6">
        <v>1</v>
      </c>
      <c r="L6">
        <f>ROUNDUP(MAX(Table1[[#This Row],[Unit QTY]]*total_units-Table1[[#This Row],['# on hand]],0)/MAX(Table1[[#This Row],[unit package qty]],1),0)</f>
        <v>30</v>
      </c>
      <c r="M6" s="5">
        <f>Table1[[#This Row],[Unit Cost]]*Table1[[#This Row],[Purchase QTY]]</f>
        <v>11.82</v>
      </c>
    </row>
    <row r="7" spans="1:14" x14ac:dyDescent="0.3">
      <c r="A7" t="s">
        <v>27</v>
      </c>
      <c r="B7" t="s">
        <v>28</v>
      </c>
      <c r="C7" t="s">
        <v>8</v>
      </c>
      <c r="D7" t="s">
        <v>29</v>
      </c>
      <c r="E7" t="s">
        <v>30</v>
      </c>
      <c r="F7" t="s">
        <v>76</v>
      </c>
      <c r="G7">
        <v>1</v>
      </c>
      <c r="H7" s="3">
        <v>1.0999999999999999E-2</v>
      </c>
      <c r="I7" s="1">
        <f>Table1[[#This Row],[Unit Cost]]*Table1[[#This Row],[Unit QTY]]</f>
        <v>1.0999999999999999E-2</v>
      </c>
      <c r="J7">
        <v>1000</v>
      </c>
      <c r="K7">
        <v>1</v>
      </c>
      <c r="L7">
        <f>ROUNDUP(MAX(Table1[[#This Row],[Unit QTY]]*total_units-Table1[[#This Row],['# on hand]],0)/MAX(Table1[[#This Row],[unit package qty]],1),0)</f>
        <v>0</v>
      </c>
      <c r="M7" s="5">
        <f>Table1[[#This Row],[Unit Cost]]*Table1[[#This Row],[Purchase QTY]]</f>
        <v>0</v>
      </c>
    </row>
    <row r="8" spans="1:14" x14ac:dyDescent="0.3">
      <c r="A8" t="s">
        <v>35</v>
      </c>
      <c r="B8" t="s">
        <v>34</v>
      </c>
      <c r="C8" t="s">
        <v>36</v>
      </c>
      <c r="D8" t="s">
        <v>33</v>
      </c>
      <c r="E8" t="s">
        <v>37</v>
      </c>
      <c r="F8" t="s">
        <v>76</v>
      </c>
      <c r="G8">
        <v>1</v>
      </c>
      <c r="H8" s="3">
        <v>8.72E-2</v>
      </c>
      <c r="I8" s="1">
        <f>Table1[[#This Row],[Unit Cost]]*Table1[[#This Row],[Unit QTY]]</f>
        <v>8.72E-2</v>
      </c>
      <c r="J8">
        <v>90</v>
      </c>
      <c r="K8">
        <v>1</v>
      </c>
      <c r="L8">
        <f>ROUNDUP(MAX(Table1[[#This Row],[Unit QTY]]*total_units-Table1[[#This Row],['# on hand]],0)/MAX(Table1[[#This Row],[unit package qty]],1),0)</f>
        <v>0</v>
      </c>
      <c r="M8" s="5">
        <f>Table1[[#This Row],[Unit Cost]]*Table1[[#This Row],[Purchase QTY]]</f>
        <v>0</v>
      </c>
    </row>
    <row r="9" spans="1:14" x14ac:dyDescent="0.3">
      <c r="A9" t="s">
        <v>41</v>
      </c>
      <c r="B9" t="s">
        <v>40</v>
      </c>
      <c r="C9" t="s">
        <v>39</v>
      </c>
      <c r="D9" t="s">
        <v>38</v>
      </c>
      <c r="E9" t="s">
        <v>42</v>
      </c>
      <c r="F9" t="s">
        <v>76</v>
      </c>
      <c r="G9">
        <v>1</v>
      </c>
      <c r="H9" s="3">
        <v>0.47239999999999999</v>
      </c>
      <c r="I9" s="1">
        <f>Table1[[#This Row],[Unit Cost]]*Table1[[#This Row],[Unit QTY]]</f>
        <v>0.47239999999999999</v>
      </c>
      <c r="J9">
        <v>15</v>
      </c>
      <c r="K9">
        <v>1</v>
      </c>
      <c r="L9">
        <f>ROUNDUP(MAX(Table1[[#This Row],[Unit QTY]]*total_units-Table1[[#This Row],['# on hand]],0)/MAX(Table1[[#This Row],[unit package qty]],1),0)</f>
        <v>15</v>
      </c>
      <c r="M9" s="5">
        <f>Table1[[#This Row],[Unit Cost]]*Table1[[#This Row],[Purchase QTY]]</f>
        <v>7.0859999999999994</v>
      </c>
    </row>
    <row r="10" spans="1:14" x14ac:dyDescent="0.3">
      <c r="A10" t="s">
        <v>43</v>
      </c>
      <c r="B10" t="s">
        <v>49</v>
      </c>
      <c r="C10" t="s">
        <v>23</v>
      </c>
      <c r="D10" t="s">
        <v>44</v>
      </c>
      <c r="E10" t="s">
        <v>45</v>
      </c>
      <c r="F10" t="s">
        <v>76</v>
      </c>
      <c r="G10">
        <f>4/80</f>
        <v>0.05</v>
      </c>
      <c r="H10" s="3">
        <v>1.03</v>
      </c>
      <c r="I10" s="1">
        <f>Table1[[#This Row],[Unit Cost]]*Table1[[#This Row],[Unit QTY]]</f>
        <v>5.1500000000000004E-2</v>
      </c>
      <c r="J10">
        <v>0</v>
      </c>
      <c r="K10">
        <v>1</v>
      </c>
      <c r="L10">
        <f>ROUNDUP(MAX(Table1[[#This Row],[Unit QTY]]*total_units-Table1[[#This Row],['# on hand]],0)/MAX(Table1[[#This Row],[unit package qty]],1),0)</f>
        <v>2</v>
      </c>
      <c r="M10" s="5">
        <f>Table1[[#This Row],[Unit Cost]]*Table1[[#This Row],[Purchase QTY]]</f>
        <v>2.06</v>
      </c>
    </row>
    <row r="11" spans="1:14" x14ac:dyDescent="0.3">
      <c r="A11" t="s">
        <v>48</v>
      </c>
      <c r="B11" t="s">
        <v>50</v>
      </c>
      <c r="E11" t="s">
        <v>56</v>
      </c>
      <c r="F11" t="s">
        <v>76</v>
      </c>
      <c r="G11">
        <v>0</v>
      </c>
      <c r="H11" s="3">
        <v>0</v>
      </c>
      <c r="I11" s="1">
        <f>Table1[[#This Row],[Unit Cost]]*Table1[[#This Row],[Unit QTY]]</f>
        <v>0</v>
      </c>
      <c r="J11">
        <v>100</v>
      </c>
      <c r="K11">
        <v>1</v>
      </c>
      <c r="L11">
        <f>ROUNDUP(MAX(Table1[[#This Row],[Unit QTY]]*total_units-Table1[[#This Row],['# on hand]],0)/MAX(Table1[[#This Row],[unit package qty]],1),0)</f>
        <v>0</v>
      </c>
      <c r="M11" s="5">
        <f>Table1[[#This Row],[Unit Cost]]*Table1[[#This Row],[Purchase QTY]]</f>
        <v>0</v>
      </c>
    </row>
    <row r="12" spans="1:14" x14ac:dyDescent="0.3">
      <c r="A12" t="s">
        <v>51</v>
      </c>
      <c r="B12" t="s">
        <v>64</v>
      </c>
      <c r="C12" t="s">
        <v>53</v>
      </c>
      <c r="D12" t="s">
        <v>63</v>
      </c>
      <c r="E12" t="s">
        <v>55</v>
      </c>
      <c r="F12" t="s">
        <v>76</v>
      </c>
      <c r="G12">
        <v>2</v>
      </c>
      <c r="H12" s="3">
        <v>4.7999999999999996E-3</v>
      </c>
      <c r="I12" s="1">
        <f>Table1[[#This Row],[Unit Cost]]*Table1[[#This Row],[Unit QTY]]</f>
        <v>9.5999999999999992E-3</v>
      </c>
      <c r="J12">
        <v>200</v>
      </c>
      <c r="K12">
        <v>1</v>
      </c>
      <c r="L12">
        <f>ROUNDUP(MAX(Table1[[#This Row],[Unit QTY]]*total_units-Table1[[#This Row],['# on hand]],0)/MAX(Table1[[#This Row],[unit package qty]],1),0)</f>
        <v>0</v>
      </c>
      <c r="M12" s="5">
        <f>Table1[[#This Row],[Unit Cost]]*Table1[[#This Row],[Purchase QTY]]</f>
        <v>0</v>
      </c>
    </row>
    <row r="13" spans="1:14" x14ac:dyDescent="0.3">
      <c r="A13" t="s">
        <v>57</v>
      </c>
      <c r="B13" t="s">
        <v>52</v>
      </c>
      <c r="C13" t="s">
        <v>53</v>
      </c>
      <c r="D13" t="s">
        <v>54</v>
      </c>
      <c r="E13" t="s">
        <v>62</v>
      </c>
      <c r="F13" t="s">
        <v>76</v>
      </c>
      <c r="G13">
        <v>1</v>
      </c>
      <c r="H13" s="3">
        <v>4.7999999999999996E-3</v>
      </c>
      <c r="I13" s="1">
        <f>Table1[[#This Row],[Unit Cost]]*Table1[[#This Row],[Unit QTY]]</f>
        <v>4.7999999999999996E-3</v>
      </c>
      <c r="J13">
        <v>1000</v>
      </c>
      <c r="K13">
        <v>1</v>
      </c>
      <c r="L13">
        <f>ROUNDUP(MAX(Table1[[#This Row],[Unit QTY]]*total_units-Table1[[#This Row],['# on hand]],0)/MAX(Table1[[#This Row],[unit package qty]],1),0)</f>
        <v>0</v>
      </c>
      <c r="M13" s="5">
        <f>Table1[[#This Row],[Unit Cost]]*Table1[[#This Row],[Purchase QTY]]</f>
        <v>0</v>
      </c>
    </row>
    <row r="14" spans="1:14" x14ac:dyDescent="0.3">
      <c r="A14" t="s">
        <v>58</v>
      </c>
      <c r="B14" t="s">
        <v>60</v>
      </c>
      <c r="C14" t="s">
        <v>53</v>
      </c>
      <c r="D14" t="s">
        <v>59</v>
      </c>
      <c r="E14" t="s">
        <v>61</v>
      </c>
      <c r="F14" t="s">
        <v>76</v>
      </c>
      <c r="G14">
        <v>2</v>
      </c>
      <c r="H14" s="3">
        <v>4.7999999999999996E-3</v>
      </c>
      <c r="I14" s="1">
        <f>Table1[[#This Row],[Unit Cost]]*Table1[[#This Row],[Unit QTY]]</f>
        <v>9.5999999999999992E-3</v>
      </c>
      <c r="J14">
        <v>1000</v>
      </c>
      <c r="K14">
        <v>1</v>
      </c>
      <c r="L14">
        <f>ROUNDUP(MAX(Table1[[#This Row],[Unit QTY]]*total_units-Table1[[#This Row],['# on hand]],0)/MAX(Table1[[#This Row],[unit package qty]],1),0)</f>
        <v>0</v>
      </c>
      <c r="M14" s="5">
        <f>Table1[[#This Row],[Unit Cost]]*Table1[[#This Row],[Purchase QTY]]</f>
        <v>0</v>
      </c>
    </row>
    <row r="15" spans="1:14" x14ac:dyDescent="0.3">
      <c r="A15" t="s">
        <v>69</v>
      </c>
      <c r="B15" t="s">
        <v>65</v>
      </c>
      <c r="C15" t="s">
        <v>66</v>
      </c>
      <c r="D15" t="s">
        <v>67</v>
      </c>
      <c r="E15" t="s">
        <v>68</v>
      </c>
      <c r="F15" t="s">
        <v>76</v>
      </c>
      <c r="G15">
        <v>2</v>
      </c>
      <c r="H15" s="3">
        <v>0.24079999999999999</v>
      </c>
      <c r="I15" s="1">
        <f>Table1[[#This Row],[Unit Cost]]*Table1[[#This Row],[Unit QTY]]</f>
        <v>0.48159999999999997</v>
      </c>
      <c r="J15">
        <v>0</v>
      </c>
      <c r="K15">
        <v>1</v>
      </c>
      <c r="L15">
        <f>ROUNDUP(MAX(Table1[[#This Row],[Unit QTY]]*total_units-Table1[[#This Row],['# on hand]],0)/MAX(Table1[[#This Row],[unit package qty]],1),0)</f>
        <v>60</v>
      </c>
      <c r="M15" s="5">
        <f>Table1[[#This Row],[Unit Cost]]*Table1[[#This Row],[Purchase QTY]]</f>
        <v>14.447999999999999</v>
      </c>
    </row>
    <row r="16" spans="1:14" x14ac:dyDescent="0.3">
      <c r="A16" t="s">
        <v>70</v>
      </c>
      <c r="B16" t="s">
        <v>71</v>
      </c>
      <c r="C16" t="s">
        <v>73</v>
      </c>
      <c r="D16" t="s">
        <v>72</v>
      </c>
      <c r="E16" t="s">
        <v>74</v>
      </c>
      <c r="F16" t="s">
        <v>76</v>
      </c>
      <c r="G16">
        <v>1</v>
      </c>
      <c r="H16" s="3">
        <v>0.82</v>
      </c>
      <c r="I16" s="1">
        <f>Table1[[#This Row],[Unit Cost]]*Table1[[#This Row],[Unit QTY]]</f>
        <v>0.82</v>
      </c>
      <c r="J16">
        <v>0</v>
      </c>
      <c r="K16">
        <v>1</v>
      </c>
      <c r="L16">
        <f>ROUNDUP(MAX(Table1[[#This Row],[Unit QTY]]*total_units-Table1[[#This Row],['# on hand]],0)/MAX(Table1[[#This Row],[unit package qty]],1),0)</f>
        <v>30</v>
      </c>
      <c r="M16" s="5">
        <f>Table1[[#This Row],[Unit Cost]]*Table1[[#This Row],[Purchase QTY]]</f>
        <v>24.599999999999998</v>
      </c>
    </row>
    <row r="17" spans="1:13" x14ac:dyDescent="0.3">
      <c r="A17" t="s">
        <v>77</v>
      </c>
      <c r="B17" t="s">
        <v>78</v>
      </c>
      <c r="C17" t="s">
        <v>79</v>
      </c>
      <c r="D17" t="s">
        <v>80</v>
      </c>
      <c r="F17" t="s">
        <v>81</v>
      </c>
      <c r="G17">
        <v>4</v>
      </c>
      <c r="H17" s="3">
        <f>4.58/100</f>
        <v>4.58E-2</v>
      </c>
      <c r="I17" s="1">
        <f>Table1[[#This Row],[Unit Cost]]*Table1[[#This Row],[Unit QTY]]</f>
        <v>0.1832</v>
      </c>
      <c r="J17">
        <v>15</v>
      </c>
      <c r="K17">
        <v>100</v>
      </c>
      <c r="L17">
        <f>ROUNDUP(MAX(Table1[[#This Row],[Unit QTY]]*total_units-Table1[[#This Row],['# on hand]],0)/MAX(Table1[[#This Row],[unit package qty]],1),0)</f>
        <v>2</v>
      </c>
      <c r="M17" s="5">
        <f>Table1[[#This Row],[Unit Cost]]*Table1[[#This Row],[Purchase QTY]]*Table1[[#This Row],[unit package qty]]</f>
        <v>9.16</v>
      </c>
    </row>
    <row r="18" spans="1:13" x14ac:dyDescent="0.3">
      <c r="A18" t="s">
        <v>6</v>
      </c>
      <c r="B18" t="s">
        <v>82</v>
      </c>
      <c r="D18" t="s">
        <v>83</v>
      </c>
      <c r="F18" t="s">
        <v>84</v>
      </c>
      <c r="G18">
        <v>1</v>
      </c>
      <c r="H18" s="3">
        <f>47.55/50</f>
        <v>0.95099999999999996</v>
      </c>
      <c r="I18" s="1">
        <f>Table1[[#This Row],[Unit Cost]]*Table1[[#This Row],[Unit QTY]]</f>
        <v>0.95099999999999996</v>
      </c>
      <c r="J18">
        <v>0</v>
      </c>
      <c r="K18">
        <v>1</v>
      </c>
      <c r="L18">
        <v>50</v>
      </c>
      <c r="M18" s="5">
        <f>Table1[[#This Row],[Unit Cost]]*Table1[[#This Row],[Purchase QTY]]</f>
        <v>47.55</v>
      </c>
    </row>
    <row r="19" spans="1:13" x14ac:dyDescent="0.3">
      <c r="A19" t="s">
        <v>85</v>
      </c>
      <c r="B19" t="s">
        <v>86</v>
      </c>
      <c r="D19" t="s">
        <v>87</v>
      </c>
      <c r="F19" t="s">
        <v>84</v>
      </c>
      <c r="G19">
        <v>1</v>
      </c>
      <c r="H19" s="3">
        <f>22.33/50</f>
        <v>0.44659999999999994</v>
      </c>
      <c r="I19" s="1">
        <f>Table1[[#This Row],[Unit Cost]]*Table1[[#This Row],[Unit QTY]]</f>
        <v>0.44659999999999994</v>
      </c>
      <c r="J19">
        <v>0</v>
      </c>
      <c r="K19">
        <v>1</v>
      </c>
      <c r="L19">
        <v>50</v>
      </c>
      <c r="M19" s="5">
        <f>Table1[[#This Row],[Unit Cost]]*Table1[[#This Row],[Purchase QTY]]</f>
        <v>22.33</v>
      </c>
    </row>
    <row r="20" spans="1:13" x14ac:dyDescent="0.3">
      <c r="A20" t="s">
        <v>90</v>
      </c>
      <c r="B20" t="s">
        <v>93</v>
      </c>
      <c r="C20" t="s">
        <v>89</v>
      </c>
      <c r="F20" t="s">
        <v>88</v>
      </c>
      <c r="G20">
        <f>(61.7+18.4)/1000</f>
        <v>8.0099999999999991E-2</v>
      </c>
      <c r="H20" s="3">
        <v>35</v>
      </c>
      <c r="I20" s="1">
        <f>Table1[[#This Row],[Unit Cost]]*Table1[[#This Row],[Unit QTY]]</f>
        <v>2.8034999999999997</v>
      </c>
      <c r="J20">
        <v>1</v>
      </c>
      <c r="K20">
        <v>1</v>
      </c>
      <c r="L20">
        <f>ROUNDUP(MAX(Table1[[#This Row],[Unit QTY]]*total_units-Table1[[#This Row],['# on hand]],0)/MAX(Table1[[#This Row],[unit package qty]],1),0)</f>
        <v>2</v>
      </c>
      <c r="M20" s="5">
        <f>Table1[[#This Row],[Unit Cost]]*Table1[[#This Row],[Purchase QTY]]</f>
        <v>70</v>
      </c>
    </row>
    <row r="21" spans="1:13" x14ac:dyDescent="0.3">
      <c r="A21" t="s">
        <v>91</v>
      </c>
      <c r="B21" t="s">
        <v>92</v>
      </c>
      <c r="C21" t="s">
        <v>89</v>
      </c>
      <c r="F21" t="s">
        <v>88</v>
      </c>
      <c r="G21">
        <f>29/1000</f>
        <v>2.9000000000000001E-2</v>
      </c>
      <c r="H21" s="3">
        <v>35</v>
      </c>
      <c r="I21" s="1">
        <f>Table1[[#This Row],[Unit Cost]]*Table1[[#This Row],[Unit QTY]]</f>
        <v>1.0150000000000001</v>
      </c>
      <c r="J21">
        <v>0</v>
      </c>
      <c r="K21">
        <v>1</v>
      </c>
      <c r="L21">
        <f>ROUNDUP(MAX(Table1[[#This Row],[Unit QTY]]*total_units-Table1[[#This Row],['# on hand]],0)/MAX(Table1[[#This Row],[unit package qty]],1),0)</f>
        <v>1</v>
      </c>
      <c r="M21" s="5">
        <f>Table1[[#This Row],[Unit Cost]]*Table1[[#This Row],[Purchase QTY]]</f>
        <v>35</v>
      </c>
    </row>
    <row r="22" spans="1:13" x14ac:dyDescent="0.3">
      <c r="I22" s="1">
        <f>Table1[[#This Row],[Unit Cost]]*Table1[[#This Row],[Unit QTY]]</f>
        <v>0</v>
      </c>
      <c r="L22">
        <f>ROUNDUP(MAX(Table1[[#This Row],[Unit QTY]]*total_units-Table1[[#This Row],['# on hand]],0)/MAX(Table1[[#This Row],[unit package qty]],1),0)</f>
        <v>0</v>
      </c>
      <c r="M22" s="5">
        <f>Table1[[#This Row],[Unit Cost]]*Table1[[#This Row],[Purchase QTY]]</f>
        <v>0</v>
      </c>
    </row>
    <row r="23" spans="1:13" x14ac:dyDescent="0.3">
      <c r="I23" s="1">
        <f>Table1[[#This Row],[Unit Cost]]*Table1[[#This Row],[Unit QTY]]</f>
        <v>0</v>
      </c>
      <c r="L23">
        <f>ROUNDUP(MAX(Table1[[#This Row],[Unit QTY]]*total_units-Table1[[#This Row],['# on hand]],0)/MAX(Table1[[#This Row],[unit package qty]],1),0)</f>
        <v>0</v>
      </c>
      <c r="M23" s="5">
        <f>Table1[[#This Row],[Unit Cost]]*Table1[[#This Row],[Purchase QTY]]</f>
        <v>0</v>
      </c>
    </row>
    <row r="24" spans="1:13" x14ac:dyDescent="0.3">
      <c r="I24" s="1">
        <f>Table1[[#This Row],[Unit Cost]]*Table1[[#This Row],[Unit QTY]]</f>
        <v>0</v>
      </c>
      <c r="L24">
        <f>ROUNDUP(MAX(Table1[[#This Row],[Unit QTY]]*total_units-Table1[[#This Row],['# on hand]],0)/MAX(Table1[[#This Row],[unit package qty]],1),0)</f>
        <v>0</v>
      </c>
      <c r="M24" s="5">
        <f>Table1[[#This Row],[Unit Cost]]*Table1[[#This Row],[Purchase QTY]]</f>
        <v>0</v>
      </c>
    </row>
    <row r="25" spans="1:13" x14ac:dyDescent="0.3">
      <c r="I25" s="1">
        <f>Table1[[#This Row],[Unit Cost]]*Table1[[#This Row],[Unit QTY]]</f>
        <v>0</v>
      </c>
      <c r="L25">
        <f>ROUNDUP(MAX(Table1[[#This Row],[Unit QTY]]*total_units-Table1[[#This Row],['# on hand]],0)/MAX(Table1[[#This Row],[unit package qty]],1),0)</f>
        <v>0</v>
      </c>
      <c r="M25" s="5">
        <f>Table1[[#This Row],[Unit Cost]]*Table1[[#This Row],[Purchase QTY]]</f>
        <v>0</v>
      </c>
    </row>
    <row r="26" spans="1:13" x14ac:dyDescent="0.3">
      <c r="I26" s="1">
        <f>Table1[[#This Row],[Unit Cost]]*Table1[[#This Row],[Unit QTY]]</f>
        <v>0</v>
      </c>
      <c r="L26">
        <f>ROUNDUP(MAX(Table1[[#This Row],[Unit QTY]]*total_units-Table1[[#This Row],['# on hand]],0)/MAX(Table1[[#This Row],[unit package qty]],1),0)</f>
        <v>0</v>
      </c>
      <c r="M26" s="5">
        <f>Table1[[#This Row],[Unit Cost]]*Table1[[#This Row],[Purchase QTY]]</f>
        <v>0</v>
      </c>
    </row>
    <row r="27" spans="1:13" x14ac:dyDescent="0.3">
      <c r="I27" s="1">
        <f>Table1[[#This Row],[Unit Cost]]*Table1[[#This Row],[Unit QTY]]</f>
        <v>0</v>
      </c>
      <c r="L27">
        <f>ROUNDUP(MAX(Table1[[#This Row],[Unit QTY]]*total_units-Table1[[#This Row],['# on hand]],0)/MAX(Table1[[#This Row],[unit package qty]],1),0)</f>
        <v>0</v>
      </c>
      <c r="M27" s="5">
        <f>Table1[[#This Row],[Unit Cost]]*Table1[[#This Row],[Purchase QTY]]</f>
        <v>0</v>
      </c>
    </row>
    <row r="28" spans="1:13" x14ac:dyDescent="0.3">
      <c r="I28" s="1">
        <f>Table1[[#This Row],[Unit Cost]]*Table1[[#This Row],[Unit QTY]]</f>
        <v>0</v>
      </c>
      <c r="L28">
        <f>ROUNDUP(MAX(Table1[[#This Row],[Unit QTY]]*total_units-Table1[[#This Row],['# on hand]],0)/MAX(Table1[[#This Row],[unit package qty]],1),0)</f>
        <v>0</v>
      </c>
      <c r="M28" s="5">
        <f>Table1[[#This Row],[Unit Cost]]*Table1[[#This Row],[Purchase QTY]]</f>
        <v>0</v>
      </c>
    </row>
    <row r="29" spans="1:13" x14ac:dyDescent="0.3">
      <c r="I29" s="1">
        <f>Table1[[#This Row],[Unit Cost]]*Table1[[#This Row],[Unit QTY]]</f>
        <v>0</v>
      </c>
      <c r="L29">
        <f>ROUNDUP(MAX(Table1[[#This Row],[Unit QTY]]*total_units-Table1[[#This Row],['# on hand]],0)/MAX(Table1[[#This Row],[unit package qty]],1),0)</f>
        <v>0</v>
      </c>
      <c r="M29" s="5">
        <f>Table1[[#This Row],[Unit Cost]]*Table1[[#This Row],[Purchase QTY]]</f>
        <v>0</v>
      </c>
    </row>
    <row r="30" spans="1:13" x14ac:dyDescent="0.3">
      <c r="I30" s="1">
        <f>Table1[[#This Row],[Unit Cost]]*Table1[[#This Row],[Unit QTY]]</f>
        <v>0</v>
      </c>
      <c r="L30">
        <f>ROUNDUP(MAX(Table1[[#This Row],[Unit QTY]]*total_units-Table1[[#This Row],['# on hand]],0)/MAX(Table1[[#This Row],[unit package qty]],1),0)</f>
        <v>0</v>
      </c>
      <c r="M30" s="5">
        <f>Table1[[#This Row],[Unit Cost]]*Table1[[#This Row],[Purchase QTY]]</f>
        <v>0</v>
      </c>
    </row>
    <row r="31" spans="1:13" x14ac:dyDescent="0.3">
      <c r="A31" t="s">
        <v>47</v>
      </c>
      <c r="H31"/>
      <c r="I31" s="6">
        <f>SUBTOTAL(109,Table1[Assy Cost])</f>
        <v>8.9139999999999979</v>
      </c>
      <c r="M31" s="5">
        <f>SUBTOTAL(109,Table1[Ext Cost])</f>
        <v>300.20399999999995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total_units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Buetow</dc:creator>
  <cp:lastModifiedBy>Thomas Buetow</cp:lastModifiedBy>
  <dcterms:created xsi:type="dcterms:W3CDTF">2015-06-05T18:17:20Z</dcterms:created>
  <dcterms:modified xsi:type="dcterms:W3CDTF">2025-12-13T14:45:35Z</dcterms:modified>
</cp:coreProperties>
</file>